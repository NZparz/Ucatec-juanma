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E6D7D7F-92FF-4AB8-9C97-C5B4D189C296}" xr6:coauthVersionLast="47" xr6:coauthVersionMax="47" xr10:uidLastSave="{00000000-0000-0000-0000-000000000000}"/>
  <bookViews>
    <workbookView xWindow="-120" yWindow="-120" windowWidth="29040" windowHeight="16440" activeTab="1" xr2:uid="{E68E8DA0-4CEC-432D-97E5-C0E427694F50}"/>
  </bookViews>
  <sheets>
    <sheet name="Hoja1" sheetId="1" r:id="rId1"/>
    <sheet name="Hoja3" sheetId="3" r:id="rId2"/>
    <sheet name="Hoja2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3" l="1"/>
  <c r="J35" i="3"/>
  <c r="K35" i="3"/>
  <c r="L35" i="3"/>
  <c r="G11" i="3"/>
  <c r="H10" i="3"/>
  <c r="H35" i="3" s="1"/>
  <c r="H15" i="3"/>
  <c r="H16" i="3"/>
  <c r="H17" i="3"/>
  <c r="H20" i="3"/>
  <c r="H22" i="3"/>
  <c r="H24" i="3"/>
  <c r="H28" i="3"/>
  <c r="H32" i="3"/>
  <c r="H33" i="3"/>
  <c r="G4" i="3"/>
  <c r="G5" i="3"/>
  <c r="G6" i="3"/>
  <c r="G7" i="3"/>
  <c r="G8" i="3"/>
  <c r="G9" i="3"/>
  <c r="G12" i="3"/>
  <c r="G13" i="3"/>
  <c r="G14" i="3"/>
  <c r="G18" i="3"/>
  <c r="G19" i="3"/>
  <c r="G21" i="3"/>
  <c r="G23" i="3"/>
  <c r="G25" i="3"/>
  <c r="G30" i="3"/>
  <c r="G31" i="3"/>
  <c r="G34" i="3"/>
  <c r="G3" i="3"/>
  <c r="G35" i="3" l="1"/>
</calcChain>
</file>

<file path=xl/sharedStrings.xml><?xml version="1.0" encoding="utf-8"?>
<sst xmlns="http://schemas.openxmlformats.org/spreadsheetml/2006/main" count="170" uniqueCount="85">
  <si>
    <t>Nº</t>
  </si>
  <si>
    <t>CUENTAS</t>
  </si>
  <si>
    <t>SALDOS</t>
  </si>
  <si>
    <t>AJUSTES</t>
  </si>
  <si>
    <t>SALDO AJUSTADO</t>
  </si>
  <si>
    <t>ESTADO DE RESULTADOS</t>
  </si>
  <si>
    <t>BALANCE GENERAL</t>
  </si>
  <si>
    <t>DEUDOR</t>
  </si>
  <si>
    <t>ACREEDOR</t>
  </si>
  <si>
    <t>DEBE</t>
  </si>
  <si>
    <t>HABER</t>
  </si>
  <si>
    <t>EGRESOS</t>
  </si>
  <si>
    <t>INGRESOS</t>
  </si>
  <si>
    <t>ACTIVO</t>
  </si>
  <si>
    <t>PASIVO</t>
  </si>
  <si>
    <t>Caja</t>
  </si>
  <si>
    <t>Inventario de mercadería</t>
  </si>
  <si>
    <t>Muebles y enseres</t>
  </si>
  <si>
    <t xml:space="preserve">Equipo de computación </t>
  </si>
  <si>
    <t>Documentos por pagar</t>
  </si>
  <si>
    <t>Capital social</t>
  </si>
  <si>
    <t>CF-IVA</t>
  </si>
  <si>
    <t>Compras</t>
  </si>
  <si>
    <t>Cuentas por pagar</t>
  </si>
  <si>
    <t xml:space="preserve">Gastos de organización </t>
  </si>
  <si>
    <t>IT</t>
  </si>
  <si>
    <t>Ventas</t>
  </si>
  <si>
    <t>DF-IVA</t>
  </si>
  <si>
    <t>IT por pagar</t>
  </si>
  <si>
    <t>Cuentas por cobrar</t>
  </si>
  <si>
    <t>Descuento en ventas</t>
  </si>
  <si>
    <t>Descuento en compras</t>
  </si>
  <si>
    <t>Recargo en ventas</t>
  </si>
  <si>
    <t>Recargo en compras</t>
  </si>
  <si>
    <t>Devolución en ventas</t>
  </si>
  <si>
    <t>Devolución en compras</t>
  </si>
  <si>
    <t>Suministros de oficina</t>
  </si>
  <si>
    <t xml:space="preserve">Servicios básicos </t>
  </si>
  <si>
    <t>Alquileres</t>
  </si>
  <si>
    <t>TOTALES</t>
  </si>
  <si>
    <t>A.I.T.B.</t>
  </si>
  <si>
    <t>Depreciación muebles</t>
  </si>
  <si>
    <t>Depreciación Equi. com</t>
  </si>
  <si>
    <t>Deprec. Acum. MyE</t>
  </si>
  <si>
    <t>Deprec.Acum. E-C</t>
  </si>
  <si>
    <t>Castigo gastos de org,</t>
  </si>
  <si>
    <t>PERDIDA</t>
  </si>
  <si>
    <t>SUMAS IGUALES</t>
  </si>
  <si>
    <t>31,065,70</t>
  </si>
  <si>
    <t>BALANCE DE COMPROBACION DE SUMAS Y SALDOS</t>
  </si>
  <si>
    <t>Practicado al 31/09/2020</t>
  </si>
  <si>
    <t>(Expresado en bolivianos)</t>
  </si>
  <si>
    <t>SUMAS</t>
  </si>
  <si>
    <t>106,780,00</t>
  </si>
  <si>
    <t>FECHA</t>
  </si>
  <si>
    <t>DETALLE</t>
  </si>
  <si>
    <t>F/M</t>
  </si>
  <si>
    <t xml:space="preserve">               ------AA----</t>
  </si>
  <si>
    <t>Muebles y ensures</t>
  </si>
  <si>
    <r>
      <t>Equipo de computacion</t>
    </r>
    <r>
      <rPr>
        <sz val="12"/>
        <color theme="1"/>
        <rFont val="Times New Roman"/>
        <family val="1"/>
      </rPr>
      <t xml:space="preserve"> </t>
    </r>
  </si>
  <si>
    <r>
      <t xml:space="preserve">          </t>
    </r>
    <r>
      <rPr>
        <u/>
        <sz val="12"/>
        <color theme="1"/>
        <rFont val="Times New Roman"/>
        <family val="1"/>
      </rPr>
      <t>A.I.T.B</t>
    </r>
  </si>
  <si>
    <t>Por actualizacion de los bienes de uso</t>
  </si>
  <si>
    <t>Depreciacion Muebles y enseres</t>
  </si>
  <si>
    <r>
      <t>Depreciacion Equipo de computacion</t>
    </r>
    <r>
      <rPr>
        <sz val="12"/>
        <color theme="1"/>
        <rFont val="Times New Roman"/>
        <family val="1"/>
      </rPr>
      <t xml:space="preserve"> </t>
    </r>
  </si>
  <si>
    <r>
      <t xml:space="preserve">         </t>
    </r>
    <r>
      <rPr>
        <u/>
        <sz val="12"/>
        <color theme="1"/>
        <rFont val="Times New Roman"/>
        <family val="1"/>
      </rPr>
      <t>Depreciacion acumulada Muebles y ensures</t>
    </r>
  </si>
  <si>
    <r>
      <t xml:space="preserve">        </t>
    </r>
    <r>
      <rPr>
        <u/>
        <sz val="12"/>
        <color theme="1"/>
        <rFont val="Times New Roman"/>
        <family val="1"/>
      </rPr>
      <t>Depreciacion acumulada Equipo de computa</t>
    </r>
    <r>
      <rPr>
        <sz val="12"/>
        <color theme="1"/>
        <rFont val="Times New Roman"/>
        <family val="1"/>
      </rPr>
      <t>.</t>
    </r>
  </si>
  <si>
    <t>Por la depreciacion de los bienes de uso</t>
  </si>
  <si>
    <t>Castigo gastos de orgaizacion</t>
  </si>
  <si>
    <r>
      <t xml:space="preserve">          </t>
    </r>
    <r>
      <rPr>
        <u/>
        <sz val="12"/>
        <color theme="1"/>
        <rFont val="Times New Roman"/>
        <family val="1"/>
      </rPr>
      <t xml:space="preserve">Gastos de organizacion </t>
    </r>
  </si>
  <si>
    <t>Ajuste del primer año delos gastos de organizacion.</t>
  </si>
  <si>
    <t>banco</t>
  </si>
  <si>
    <t>Caja M/E</t>
  </si>
  <si>
    <t>Equipo computación</t>
  </si>
  <si>
    <t>Inventario de mercaderías</t>
  </si>
  <si>
    <t>Contrato anticrético</t>
  </si>
  <si>
    <t>Gastos de organización</t>
  </si>
  <si>
    <t>Documentos por cobrar</t>
  </si>
  <si>
    <t>Descuento en compra</t>
  </si>
  <si>
    <t>recargo en ventas</t>
  </si>
  <si>
    <t>Servicios básicos</t>
  </si>
  <si>
    <t>A.I.T.B</t>
  </si>
  <si>
    <t>Depreciación equi. Comp.</t>
  </si>
  <si>
    <t>Depreciación acum. MyE</t>
  </si>
  <si>
    <t>Depreciación acum. E-C</t>
  </si>
  <si>
    <t>Castigo gastos de 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</si>
</sst>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FFFF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4" fontId="1" fillId="0" borderId="7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16" fontId="9" fillId="0" borderId="6" xfId="0" applyNumberFormat="1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2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top" wrapText="1"/>
    </xf>
    <xf numFmtId="0" fontId="12" fillId="0" borderId="7" xfId="0" applyFont="1" applyBorder="1" applyAlignment="1">
      <alignment vertical="center" wrapText="1"/>
    </xf>
    <xf numFmtId="4" fontId="13" fillId="0" borderId="7" xfId="0" applyNumberFormat="1" applyFont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0" borderId="7" xfId="0" applyFont="1" applyBorder="1" applyAlignment="1">
      <alignment vertical="center" wrapText="1"/>
    </xf>
    <xf numFmtId="4" fontId="13" fillId="2" borderId="7" xfId="0" applyNumberFormat="1" applyFont="1" applyFill="1" applyBorder="1" applyAlignment="1">
      <alignment horizontal="right" vertical="center" wrapText="1"/>
    </xf>
    <xf numFmtId="4" fontId="13" fillId="3" borderId="7" xfId="0" applyNumberFormat="1" applyFont="1" applyFill="1" applyBorder="1" applyAlignment="1">
      <alignment horizontal="right" vertical="center" wrapText="1"/>
    </xf>
    <xf numFmtId="0" fontId="2" fillId="0" borderId="5" xfId="0" applyFont="1" applyBorder="1" applyAlignment="1">
      <alignment vertical="top" wrapText="1"/>
    </xf>
    <xf numFmtId="0" fontId="12" fillId="0" borderId="5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0" borderId="7" xfId="0" applyNumberFormat="1" applyBorder="1" applyAlignment="1">
      <alignment horizontal="right" vertical="center" wrapText="1"/>
    </xf>
    <xf numFmtId="2" fontId="0" fillId="0" borderId="7" xfId="0" applyNumberFormat="1" applyBorder="1" applyAlignment="1">
      <alignment vertical="center" wrapText="1"/>
    </xf>
    <xf numFmtId="2" fontId="0" fillId="2" borderId="7" xfId="0" applyNumberFormat="1" applyFill="1" applyBorder="1" applyAlignment="1">
      <alignment horizontal="right" vertical="center" wrapText="1"/>
    </xf>
    <xf numFmtId="2" fontId="14" fillId="0" borderId="7" xfId="0" applyNumberFormat="1" applyFont="1" applyBorder="1" applyAlignment="1">
      <alignment horizontal="right" vertical="center" wrapText="1"/>
    </xf>
    <xf numFmtId="2" fontId="0" fillId="0" borderId="5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E2B9-1DE3-487E-BD10-DD833481410F}">
  <dimension ref="A1:L41"/>
  <sheetViews>
    <sheetView topLeftCell="A4" workbookViewId="0">
      <selection activeCell="D31" sqref="D31"/>
    </sheetView>
  </sheetViews>
  <sheetFormatPr baseColWidth="10" defaultRowHeight="15" x14ac:dyDescent="0.25"/>
  <cols>
    <col min="1" max="1" width="3" bestFit="1" customWidth="1"/>
    <col min="2" max="2" width="23.42578125" customWidth="1"/>
  </cols>
  <sheetData>
    <row r="1" spans="1:12" ht="25.5" customHeight="1" thickBot="1" x14ac:dyDescent="0.3">
      <c r="A1" s="44" t="s">
        <v>0</v>
      </c>
      <c r="B1" s="44" t="s">
        <v>1</v>
      </c>
      <c r="C1" s="42" t="s">
        <v>2</v>
      </c>
      <c r="D1" s="43"/>
      <c r="E1" s="42" t="s">
        <v>3</v>
      </c>
      <c r="F1" s="43"/>
      <c r="G1" s="42" t="s">
        <v>4</v>
      </c>
      <c r="H1" s="43"/>
      <c r="I1" s="42" t="s">
        <v>5</v>
      </c>
      <c r="J1" s="43"/>
      <c r="K1" s="42" t="s">
        <v>6</v>
      </c>
      <c r="L1" s="43"/>
    </row>
    <row r="2" spans="1:12" ht="15.75" thickBot="1" x14ac:dyDescent="0.3">
      <c r="A2" s="45"/>
      <c r="B2" s="45"/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  <c r="H2" s="1" t="s">
        <v>8</v>
      </c>
      <c r="I2" s="1" t="s">
        <v>11</v>
      </c>
      <c r="J2" s="1" t="s">
        <v>12</v>
      </c>
      <c r="K2" s="1" t="s">
        <v>13</v>
      </c>
      <c r="L2" s="1" t="s">
        <v>14</v>
      </c>
    </row>
    <row r="3" spans="1:12" x14ac:dyDescent="0.25">
      <c r="A3" s="2">
        <v>1</v>
      </c>
      <c r="B3" s="6" t="s">
        <v>15</v>
      </c>
      <c r="C3" s="35">
        <v>105420</v>
      </c>
      <c r="D3" s="36"/>
      <c r="E3" s="31"/>
      <c r="F3" s="31"/>
      <c r="G3" s="35">
        <v>105420</v>
      </c>
      <c r="H3" s="30"/>
      <c r="I3" s="30"/>
      <c r="J3" s="30"/>
      <c r="K3" s="35">
        <v>105420</v>
      </c>
      <c r="L3" s="30"/>
    </row>
    <row r="4" spans="1:12" x14ac:dyDescent="0.25">
      <c r="A4" s="2">
        <v>2</v>
      </c>
      <c r="B4" s="7" t="s">
        <v>16</v>
      </c>
      <c r="C4" s="35">
        <v>50000</v>
      </c>
      <c r="D4" s="36"/>
      <c r="E4" s="31"/>
      <c r="F4" s="31"/>
      <c r="G4" s="35">
        <v>50000</v>
      </c>
      <c r="H4" s="30"/>
      <c r="I4" s="35">
        <v>50000</v>
      </c>
      <c r="J4" s="30"/>
      <c r="K4" s="31"/>
      <c r="L4" s="30"/>
    </row>
    <row r="5" spans="1:12" x14ac:dyDescent="0.25">
      <c r="A5" s="2">
        <v>3</v>
      </c>
      <c r="B5" s="6" t="s">
        <v>17</v>
      </c>
      <c r="C5" s="35">
        <v>31049</v>
      </c>
      <c r="D5" s="36"/>
      <c r="E5" s="36">
        <v>16.7</v>
      </c>
      <c r="F5" s="31"/>
      <c r="G5" s="36" t="s">
        <v>48</v>
      </c>
      <c r="H5" s="30"/>
      <c r="I5" s="31"/>
      <c r="J5" s="30"/>
      <c r="K5" s="36" t="s">
        <v>48</v>
      </c>
      <c r="L5" s="30"/>
    </row>
    <row r="6" spans="1:12" x14ac:dyDescent="0.25">
      <c r="A6" s="2">
        <v>4</v>
      </c>
      <c r="B6" s="7" t="s">
        <v>18</v>
      </c>
      <c r="C6" s="35">
        <v>10000</v>
      </c>
      <c r="D6" s="36"/>
      <c r="E6" s="36">
        <v>6.87</v>
      </c>
      <c r="F6" s="31"/>
      <c r="G6" s="35">
        <v>10006.870000000001</v>
      </c>
      <c r="H6" s="30"/>
      <c r="I6" s="31"/>
      <c r="J6" s="30"/>
      <c r="K6" s="35">
        <v>10006.870000000001</v>
      </c>
      <c r="L6" s="30"/>
    </row>
    <row r="7" spans="1:12" x14ac:dyDescent="0.25">
      <c r="A7" s="2">
        <v>5</v>
      </c>
      <c r="B7" s="6" t="s">
        <v>19</v>
      </c>
      <c r="C7" s="36"/>
      <c r="D7" s="35">
        <v>32800</v>
      </c>
      <c r="E7" s="31"/>
      <c r="F7" s="31"/>
      <c r="G7" s="31"/>
      <c r="H7" s="35">
        <v>32800</v>
      </c>
      <c r="I7" s="31"/>
      <c r="J7" s="30"/>
      <c r="K7" s="31"/>
      <c r="L7" s="35">
        <v>32800</v>
      </c>
    </row>
    <row r="8" spans="1:12" x14ac:dyDescent="0.25">
      <c r="A8" s="2">
        <v>6</v>
      </c>
      <c r="B8" s="6" t="s">
        <v>20</v>
      </c>
      <c r="C8" s="36"/>
      <c r="D8" s="35">
        <v>150000</v>
      </c>
      <c r="E8" s="31"/>
      <c r="F8" s="31"/>
      <c r="G8" s="31"/>
      <c r="H8" s="35">
        <v>150000</v>
      </c>
      <c r="I8" s="31"/>
      <c r="J8" s="30"/>
      <c r="K8" s="31"/>
      <c r="L8" s="35">
        <v>150000</v>
      </c>
    </row>
    <row r="9" spans="1:12" x14ac:dyDescent="0.25">
      <c r="A9" s="2">
        <v>7</v>
      </c>
      <c r="B9" s="6" t="s">
        <v>21</v>
      </c>
      <c r="C9" s="35">
        <v>22440.6</v>
      </c>
      <c r="D9" s="36"/>
      <c r="E9" s="31"/>
      <c r="F9" s="31"/>
      <c r="G9" s="35">
        <v>22440.6</v>
      </c>
      <c r="H9" s="31"/>
      <c r="I9" s="31"/>
      <c r="J9" s="30"/>
      <c r="K9" s="35">
        <v>22440.6</v>
      </c>
      <c r="L9" s="31"/>
    </row>
    <row r="10" spans="1:12" x14ac:dyDescent="0.25">
      <c r="A10" s="2">
        <v>8</v>
      </c>
      <c r="B10" s="6" t="s">
        <v>22</v>
      </c>
      <c r="C10" s="35">
        <v>125280</v>
      </c>
      <c r="D10" s="36"/>
      <c r="E10" s="31"/>
      <c r="F10" s="32"/>
      <c r="G10" s="35">
        <v>125280</v>
      </c>
      <c r="H10" s="30"/>
      <c r="I10" s="35">
        <v>125280</v>
      </c>
      <c r="J10" s="30"/>
      <c r="K10" s="31"/>
      <c r="L10" s="31"/>
    </row>
    <row r="11" spans="1:12" x14ac:dyDescent="0.25">
      <c r="A11" s="2">
        <v>9</v>
      </c>
      <c r="B11" s="6" t="s">
        <v>23</v>
      </c>
      <c r="C11" s="36"/>
      <c r="D11" s="35">
        <v>32390</v>
      </c>
      <c r="E11" s="31"/>
      <c r="F11" s="31"/>
      <c r="G11" s="31"/>
      <c r="H11" s="35">
        <v>32390</v>
      </c>
      <c r="I11" s="31"/>
      <c r="J11" s="30"/>
      <c r="K11" s="31"/>
      <c r="L11" s="35">
        <v>32390</v>
      </c>
    </row>
    <row r="12" spans="1:12" x14ac:dyDescent="0.25">
      <c r="A12" s="2">
        <v>10</v>
      </c>
      <c r="B12" s="6" t="s">
        <v>24</v>
      </c>
      <c r="C12" s="36">
        <v>887.4</v>
      </c>
      <c r="D12" s="36"/>
      <c r="E12" s="31"/>
      <c r="F12" s="36">
        <v>221.85</v>
      </c>
      <c r="G12" s="36">
        <v>665.55</v>
      </c>
      <c r="H12" s="30"/>
      <c r="I12" s="31"/>
      <c r="J12" s="30"/>
      <c r="K12" s="36">
        <v>665.55</v>
      </c>
      <c r="L12" s="31"/>
    </row>
    <row r="13" spans="1:12" x14ac:dyDescent="0.25">
      <c r="A13" s="2">
        <v>11</v>
      </c>
      <c r="B13" s="6" t="s">
        <v>25</v>
      </c>
      <c r="C13" s="35">
        <v>5580</v>
      </c>
      <c r="D13" s="36"/>
      <c r="E13" s="31"/>
      <c r="F13" s="31"/>
      <c r="G13" s="35">
        <v>5580</v>
      </c>
      <c r="H13" s="30"/>
      <c r="I13" s="35">
        <v>5580</v>
      </c>
      <c r="J13" s="30"/>
      <c r="K13" s="31"/>
      <c r="L13" s="31"/>
    </row>
    <row r="14" spans="1:12" x14ac:dyDescent="0.25">
      <c r="A14" s="2">
        <v>12</v>
      </c>
      <c r="B14" s="6" t="s">
        <v>26</v>
      </c>
      <c r="C14" s="36"/>
      <c r="D14" s="35">
        <v>169650</v>
      </c>
      <c r="E14" s="31"/>
      <c r="F14" s="31"/>
      <c r="G14" s="31"/>
      <c r="H14" s="35">
        <v>169650</v>
      </c>
      <c r="I14" s="31"/>
      <c r="J14" s="35">
        <v>169650</v>
      </c>
      <c r="K14" s="31"/>
      <c r="L14" s="31"/>
    </row>
    <row r="15" spans="1:12" x14ac:dyDescent="0.25">
      <c r="A15" s="2">
        <v>13</v>
      </c>
      <c r="B15" s="6" t="s">
        <v>27</v>
      </c>
      <c r="C15" s="36"/>
      <c r="D15" s="35">
        <v>26474.5</v>
      </c>
      <c r="E15" s="31"/>
      <c r="F15" s="31"/>
      <c r="G15" s="31"/>
      <c r="H15" s="35">
        <v>26474.5</v>
      </c>
      <c r="I15" s="31"/>
      <c r="J15" s="31"/>
      <c r="K15" s="31"/>
      <c r="L15" s="35">
        <v>26474.5</v>
      </c>
    </row>
    <row r="16" spans="1:12" x14ac:dyDescent="0.25">
      <c r="A16" s="2">
        <v>14</v>
      </c>
      <c r="B16" s="6" t="s">
        <v>28</v>
      </c>
      <c r="C16" s="36"/>
      <c r="D16" s="35">
        <v>5580</v>
      </c>
      <c r="E16" s="31"/>
      <c r="F16" s="31"/>
      <c r="G16" s="31"/>
      <c r="H16" s="35">
        <v>5580</v>
      </c>
      <c r="I16" s="36"/>
      <c r="J16" s="31"/>
      <c r="K16" s="31"/>
      <c r="L16" s="35">
        <v>5580</v>
      </c>
    </row>
    <row r="17" spans="1:12" x14ac:dyDescent="0.25">
      <c r="A17" s="2">
        <v>15</v>
      </c>
      <c r="B17" s="6" t="s">
        <v>29</v>
      </c>
      <c r="C17" s="35">
        <v>60800</v>
      </c>
      <c r="D17" s="36"/>
      <c r="E17" s="31"/>
      <c r="F17" s="31"/>
      <c r="G17" s="35">
        <v>60800</v>
      </c>
      <c r="H17" s="31"/>
      <c r="I17" s="31"/>
      <c r="J17" s="31"/>
      <c r="K17" s="35">
        <v>60800</v>
      </c>
      <c r="L17" s="31"/>
    </row>
    <row r="18" spans="1:12" x14ac:dyDescent="0.25">
      <c r="A18" s="2">
        <v>16</v>
      </c>
      <c r="B18" s="6" t="s">
        <v>30</v>
      </c>
      <c r="C18" s="35">
        <v>2610</v>
      </c>
      <c r="D18" s="36"/>
      <c r="E18" s="31"/>
      <c r="F18" s="31"/>
      <c r="G18" s="35">
        <v>2610</v>
      </c>
      <c r="H18" s="31"/>
      <c r="I18" s="35">
        <v>2610</v>
      </c>
      <c r="J18" s="31"/>
      <c r="K18" s="31"/>
      <c r="L18" s="31"/>
    </row>
    <row r="19" spans="1:12" x14ac:dyDescent="0.25">
      <c r="A19" s="2">
        <v>17</v>
      </c>
      <c r="B19" s="6" t="s">
        <v>31</v>
      </c>
      <c r="C19" s="36"/>
      <c r="D19" s="36">
        <v>783</v>
      </c>
      <c r="E19" s="31"/>
      <c r="F19" s="31"/>
      <c r="G19" s="31"/>
      <c r="H19" s="36">
        <v>783</v>
      </c>
      <c r="I19" s="31"/>
      <c r="J19" s="36">
        <v>783</v>
      </c>
      <c r="K19" s="31"/>
      <c r="L19" s="31"/>
    </row>
    <row r="20" spans="1:12" x14ac:dyDescent="0.25">
      <c r="A20" s="2">
        <v>18</v>
      </c>
      <c r="B20" s="6" t="s">
        <v>32</v>
      </c>
      <c r="C20" s="36"/>
      <c r="D20" s="36">
        <v>870</v>
      </c>
      <c r="E20" s="31"/>
      <c r="F20" s="31"/>
      <c r="G20" s="31"/>
      <c r="H20" s="36">
        <v>870</v>
      </c>
      <c r="I20" s="31"/>
      <c r="J20" s="36">
        <v>870</v>
      </c>
      <c r="K20" s="31"/>
      <c r="L20" s="31"/>
    </row>
    <row r="21" spans="1:12" x14ac:dyDescent="0.25">
      <c r="A21" s="2">
        <v>19</v>
      </c>
      <c r="B21" s="6" t="s">
        <v>33</v>
      </c>
      <c r="C21" s="36">
        <v>556.79999999999995</v>
      </c>
      <c r="D21" s="36"/>
      <c r="E21" s="31"/>
      <c r="F21" s="31"/>
      <c r="G21" s="36">
        <v>556.79999999999995</v>
      </c>
      <c r="H21" s="31"/>
      <c r="I21" s="36">
        <v>556.79999999999995</v>
      </c>
      <c r="J21" s="31"/>
      <c r="K21" s="31"/>
      <c r="L21" s="31"/>
    </row>
    <row r="22" spans="1:12" x14ac:dyDescent="0.25">
      <c r="A22" s="2">
        <v>20</v>
      </c>
      <c r="B22" s="6" t="s">
        <v>34</v>
      </c>
      <c r="C22" s="35">
        <v>6090</v>
      </c>
      <c r="D22" s="36"/>
      <c r="E22" s="31"/>
      <c r="F22" s="31"/>
      <c r="G22" s="35">
        <v>6090</v>
      </c>
      <c r="H22" s="31"/>
      <c r="I22" s="35">
        <v>6090</v>
      </c>
      <c r="J22" s="31"/>
      <c r="K22" s="31"/>
      <c r="L22" s="31"/>
    </row>
    <row r="23" spans="1:12" x14ac:dyDescent="0.25">
      <c r="A23" s="2">
        <v>21</v>
      </c>
      <c r="B23" s="6" t="s">
        <v>35</v>
      </c>
      <c r="C23" s="36"/>
      <c r="D23" s="35">
        <v>5872.5</v>
      </c>
      <c r="E23" s="31"/>
      <c r="F23" s="31"/>
      <c r="G23" s="31"/>
      <c r="H23" s="35">
        <v>5872.5</v>
      </c>
      <c r="I23" s="31"/>
      <c r="J23" s="35">
        <v>5872.5</v>
      </c>
      <c r="K23" s="31"/>
      <c r="L23" s="31"/>
    </row>
    <row r="24" spans="1:12" x14ac:dyDescent="0.25">
      <c r="A24" s="2">
        <v>22</v>
      </c>
      <c r="B24" s="6" t="s">
        <v>36</v>
      </c>
      <c r="C24" s="36">
        <v>435</v>
      </c>
      <c r="D24" s="36"/>
      <c r="E24" s="31"/>
      <c r="F24" s="31"/>
      <c r="G24" s="36">
        <v>435</v>
      </c>
      <c r="H24" s="31"/>
      <c r="I24" s="31"/>
      <c r="J24" s="31"/>
      <c r="K24" s="36">
        <v>435</v>
      </c>
      <c r="L24" s="31"/>
    </row>
    <row r="25" spans="1:12" x14ac:dyDescent="0.25">
      <c r="A25" s="2">
        <v>23</v>
      </c>
      <c r="B25" s="6" t="s">
        <v>37</v>
      </c>
      <c r="C25" s="36">
        <v>661.2</v>
      </c>
      <c r="D25" s="36"/>
      <c r="E25" s="31"/>
      <c r="F25" s="31"/>
      <c r="G25" s="36">
        <v>661.2</v>
      </c>
      <c r="H25" s="31"/>
      <c r="I25" s="36">
        <v>661.2</v>
      </c>
      <c r="J25" s="31"/>
      <c r="K25" s="31"/>
      <c r="L25" s="31"/>
    </row>
    <row r="26" spans="1:12" x14ac:dyDescent="0.25">
      <c r="A26" s="2">
        <v>24</v>
      </c>
      <c r="B26" s="6" t="s">
        <v>38</v>
      </c>
      <c r="C26" s="35">
        <v>2610</v>
      </c>
      <c r="D26" s="36"/>
      <c r="E26" s="31"/>
      <c r="F26" s="31"/>
      <c r="G26" s="35">
        <v>2610</v>
      </c>
      <c r="H26" s="31"/>
      <c r="I26" s="35">
        <v>2610</v>
      </c>
      <c r="J26" s="31"/>
      <c r="K26" s="31"/>
      <c r="L26" s="31"/>
    </row>
    <row r="27" spans="1:12" x14ac:dyDescent="0.25">
      <c r="A27" s="2"/>
      <c r="B27" s="6"/>
      <c r="C27" s="36"/>
      <c r="D27" s="36"/>
      <c r="E27" s="31"/>
      <c r="F27" s="31"/>
      <c r="G27" s="31"/>
      <c r="H27" s="31"/>
      <c r="I27" s="31"/>
      <c r="J27" s="31"/>
      <c r="K27" s="31"/>
      <c r="L27" s="31"/>
    </row>
    <row r="28" spans="1:12" x14ac:dyDescent="0.25">
      <c r="A28" s="2"/>
      <c r="B28" s="6" t="s">
        <v>39</v>
      </c>
      <c r="C28" s="38">
        <v>424420</v>
      </c>
      <c r="D28" s="38">
        <v>424420</v>
      </c>
      <c r="E28" s="31"/>
      <c r="F28" s="31"/>
      <c r="G28" s="31"/>
      <c r="H28" s="31"/>
      <c r="I28" s="31"/>
      <c r="J28" s="31"/>
      <c r="K28" s="31"/>
      <c r="L28" s="31"/>
    </row>
    <row r="29" spans="1:12" x14ac:dyDescent="0.25">
      <c r="A29" s="2">
        <v>25</v>
      </c>
      <c r="B29" s="6" t="s">
        <v>40</v>
      </c>
      <c r="C29" s="33"/>
      <c r="D29" s="33"/>
      <c r="E29" s="31"/>
      <c r="F29" s="37">
        <v>23.57</v>
      </c>
      <c r="G29" s="31"/>
      <c r="H29" s="36">
        <v>23.57</v>
      </c>
      <c r="I29" s="31"/>
      <c r="J29" s="36">
        <v>23.57</v>
      </c>
      <c r="K29" s="31"/>
      <c r="L29" s="31"/>
    </row>
    <row r="30" spans="1:12" x14ac:dyDescent="0.25">
      <c r="A30" s="2"/>
      <c r="B30" s="6"/>
      <c r="C30" s="33"/>
      <c r="D30" s="33"/>
      <c r="E30" s="31"/>
      <c r="F30" s="31"/>
      <c r="G30" s="31"/>
      <c r="H30" s="31"/>
      <c r="I30" s="31"/>
      <c r="J30" s="31"/>
      <c r="K30" s="31"/>
      <c r="L30" s="31"/>
    </row>
    <row r="31" spans="1:12" x14ac:dyDescent="0.25">
      <c r="A31" s="2">
        <v>26</v>
      </c>
      <c r="B31" s="6" t="s">
        <v>41</v>
      </c>
      <c r="C31" s="33"/>
      <c r="D31" s="33"/>
      <c r="E31" s="36">
        <v>425.66</v>
      </c>
      <c r="F31" s="31"/>
      <c r="G31" s="36">
        <v>425.66</v>
      </c>
      <c r="H31" s="31"/>
      <c r="I31" s="36">
        <v>425.66</v>
      </c>
      <c r="J31" s="31"/>
      <c r="K31" s="30"/>
      <c r="L31" s="31"/>
    </row>
    <row r="32" spans="1:12" x14ac:dyDescent="0.25">
      <c r="A32" s="2">
        <v>27</v>
      </c>
      <c r="B32" s="6" t="s">
        <v>42</v>
      </c>
      <c r="C32" s="33"/>
      <c r="D32" s="33"/>
      <c r="E32" s="36">
        <v>416.95</v>
      </c>
      <c r="F32" s="32"/>
      <c r="G32" s="36">
        <v>416.95</v>
      </c>
      <c r="H32" s="31"/>
      <c r="I32" s="36">
        <v>416.95</v>
      </c>
      <c r="J32" s="31"/>
      <c r="K32" s="30"/>
      <c r="L32" s="32"/>
    </row>
    <row r="33" spans="1:12" x14ac:dyDescent="0.25">
      <c r="A33" s="2">
        <v>28</v>
      </c>
      <c r="B33" s="6" t="s">
        <v>43</v>
      </c>
      <c r="C33" s="33"/>
      <c r="D33" s="33"/>
      <c r="E33" s="31"/>
      <c r="F33" s="36">
        <v>425.66</v>
      </c>
      <c r="G33" s="31"/>
      <c r="H33" s="36">
        <v>425.66</v>
      </c>
      <c r="I33" s="31"/>
      <c r="J33" s="31"/>
      <c r="K33" s="30"/>
      <c r="L33" s="36">
        <v>425.66</v>
      </c>
    </row>
    <row r="34" spans="1:12" x14ac:dyDescent="0.25">
      <c r="A34" s="2">
        <v>29</v>
      </c>
      <c r="B34" s="6" t="s">
        <v>44</v>
      </c>
      <c r="C34" s="33"/>
      <c r="D34" s="33"/>
      <c r="E34" s="31"/>
      <c r="F34" s="36">
        <v>416.95</v>
      </c>
      <c r="G34" s="31"/>
      <c r="H34" s="36">
        <v>416.95</v>
      </c>
      <c r="I34" s="31"/>
      <c r="J34" s="31"/>
      <c r="K34" s="30"/>
      <c r="L34" s="36">
        <v>416.95</v>
      </c>
    </row>
    <row r="35" spans="1:12" x14ac:dyDescent="0.25">
      <c r="A35" s="2">
        <v>30</v>
      </c>
      <c r="B35" s="6" t="s">
        <v>45</v>
      </c>
      <c r="C35" s="33"/>
      <c r="D35" s="33"/>
      <c r="E35" s="36">
        <v>221.85</v>
      </c>
      <c r="F35" s="31"/>
      <c r="G35" s="36">
        <v>221.85</v>
      </c>
      <c r="H35" s="31"/>
      <c r="I35" s="36">
        <v>221.85</v>
      </c>
      <c r="J35" s="31"/>
      <c r="K35" s="30"/>
      <c r="L35" s="31"/>
    </row>
    <row r="36" spans="1:12" x14ac:dyDescent="0.25">
      <c r="A36" s="3"/>
      <c r="B36" s="6" t="s">
        <v>39</v>
      </c>
      <c r="C36" s="33"/>
      <c r="D36" s="33"/>
      <c r="E36" s="35">
        <v>1088.03</v>
      </c>
      <c r="F36" s="36">
        <v>1088.03</v>
      </c>
      <c r="G36" s="35">
        <v>425286.18</v>
      </c>
      <c r="H36" s="35">
        <v>425286.18</v>
      </c>
      <c r="I36" s="35">
        <v>194452.46</v>
      </c>
      <c r="J36" s="35">
        <v>177199.07</v>
      </c>
      <c r="K36" s="35">
        <v>230833.72</v>
      </c>
      <c r="L36" s="35">
        <v>248087.11</v>
      </c>
    </row>
    <row r="37" spans="1:12" x14ac:dyDescent="0.25">
      <c r="A37" s="4"/>
      <c r="B37" s="8" t="s">
        <v>46</v>
      </c>
      <c r="C37" s="33"/>
      <c r="D37" s="33"/>
      <c r="E37" s="33"/>
      <c r="F37" s="31"/>
      <c r="G37" s="31"/>
      <c r="H37" s="31"/>
      <c r="I37" s="31"/>
      <c r="J37" s="39">
        <v>17253.39</v>
      </c>
      <c r="K37" s="39">
        <v>17253.39</v>
      </c>
      <c r="L37" s="31"/>
    </row>
    <row r="38" spans="1:12" x14ac:dyDescent="0.25">
      <c r="A38" s="4"/>
      <c r="B38" s="6" t="s">
        <v>47</v>
      </c>
      <c r="C38" s="33"/>
      <c r="D38" s="33"/>
      <c r="E38" s="33"/>
      <c r="F38" s="31"/>
      <c r="G38" s="34"/>
      <c r="H38" s="34"/>
      <c r="I38" s="35">
        <v>194452.46</v>
      </c>
      <c r="J38" s="35">
        <v>194452.46</v>
      </c>
      <c r="K38" s="35">
        <v>248087.11</v>
      </c>
      <c r="L38" s="35">
        <v>248087.11</v>
      </c>
    </row>
    <row r="39" spans="1:12" x14ac:dyDescent="0.25">
      <c r="A39" s="4"/>
      <c r="B39" s="9"/>
      <c r="C39" s="33"/>
      <c r="D39" s="33"/>
      <c r="E39" s="33"/>
      <c r="F39" s="32"/>
      <c r="G39" s="33"/>
      <c r="H39" s="33"/>
      <c r="I39" s="34"/>
      <c r="J39" s="30"/>
      <c r="K39" s="30"/>
      <c r="L39" s="31"/>
    </row>
    <row r="40" spans="1:12" x14ac:dyDescent="0.25">
      <c r="A40" s="4"/>
      <c r="B40" s="9"/>
      <c r="C40" s="33"/>
      <c r="D40" s="33"/>
      <c r="E40" s="33"/>
      <c r="F40" s="33"/>
      <c r="G40" s="33"/>
      <c r="H40" s="33"/>
      <c r="I40" s="33"/>
      <c r="J40" s="33"/>
      <c r="K40" s="33"/>
      <c r="L40" s="31"/>
    </row>
    <row r="41" spans="1:12" ht="15.75" thickBot="1" x14ac:dyDescent="0.3">
      <c r="A41" s="5"/>
      <c r="B41" s="10"/>
      <c r="C41" s="40"/>
      <c r="D41" s="40"/>
      <c r="E41" s="40"/>
      <c r="F41" s="40"/>
      <c r="G41" s="40"/>
      <c r="H41" s="40"/>
      <c r="I41" s="40"/>
      <c r="J41" s="40"/>
      <c r="K41" s="40"/>
      <c r="L41" s="41"/>
    </row>
  </sheetData>
  <mergeCells count="7">
    <mergeCell ref="K1:L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3B43-606A-4FFE-93F2-345A46089497}">
  <dimension ref="A1:L37"/>
  <sheetViews>
    <sheetView tabSelected="1" topLeftCell="B1" workbookViewId="0">
      <selection activeCell="K36" sqref="K36"/>
    </sheetView>
  </sheetViews>
  <sheetFormatPr baseColWidth="10" defaultRowHeight="15" x14ac:dyDescent="0.25"/>
  <cols>
    <col min="2" max="2" width="24.140625" customWidth="1"/>
  </cols>
  <sheetData>
    <row r="1" spans="1:12" ht="15.75" thickBot="1" x14ac:dyDescent="0.3">
      <c r="A1" s="58" t="s">
        <v>0</v>
      </c>
      <c r="B1" s="58" t="s">
        <v>1</v>
      </c>
      <c r="C1" s="60" t="s">
        <v>2</v>
      </c>
      <c r="D1" s="61"/>
      <c r="E1" s="60" t="s">
        <v>3</v>
      </c>
      <c r="F1" s="61"/>
      <c r="G1" s="60" t="s">
        <v>4</v>
      </c>
      <c r="H1" s="61"/>
      <c r="I1" s="60" t="s">
        <v>5</v>
      </c>
      <c r="J1" s="61"/>
      <c r="K1" s="60" t="s">
        <v>6</v>
      </c>
      <c r="L1" s="61"/>
    </row>
    <row r="2" spans="1:12" ht="15.75" thickBot="1" x14ac:dyDescent="0.3">
      <c r="A2" s="59"/>
      <c r="B2" s="59"/>
      <c r="C2" s="53" t="s">
        <v>7</v>
      </c>
      <c r="D2" s="53" t="s">
        <v>8</v>
      </c>
      <c r="E2" s="53" t="s">
        <v>9</v>
      </c>
      <c r="F2" s="53" t="s">
        <v>10</v>
      </c>
      <c r="G2" s="53" t="s">
        <v>7</v>
      </c>
      <c r="H2" s="53" t="s">
        <v>8</v>
      </c>
      <c r="I2" s="53" t="s">
        <v>11</v>
      </c>
      <c r="J2" s="53" t="s">
        <v>12</v>
      </c>
      <c r="K2" s="53" t="s">
        <v>13</v>
      </c>
      <c r="L2" s="53" t="s">
        <v>14</v>
      </c>
    </row>
    <row r="3" spans="1:12" ht="15.75" thickBot="1" x14ac:dyDescent="0.3">
      <c r="A3" s="62">
        <v>1</v>
      </c>
      <c r="B3" s="54" t="s">
        <v>15</v>
      </c>
      <c r="C3" s="63">
        <v>19544.400000000001</v>
      </c>
      <c r="D3" s="63"/>
      <c r="E3" s="63"/>
      <c r="F3" s="63"/>
      <c r="G3" s="64">
        <f>C3+E3</f>
        <v>19544.400000000001</v>
      </c>
      <c r="H3" s="63"/>
      <c r="I3" s="64"/>
      <c r="J3" s="64"/>
      <c r="K3" s="64">
        <v>19544.400000000001</v>
      </c>
      <c r="L3" s="64"/>
    </row>
    <row r="4" spans="1:12" ht="15.75" thickBot="1" x14ac:dyDescent="0.3">
      <c r="A4" s="62">
        <v>2</v>
      </c>
      <c r="B4" s="54" t="s">
        <v>70</v>
      </c>
      <c r="C4" s="63">
        <v>12015.5</v>
      </c>
      <c r="D4" s="63"/>
      <c r="E4" s="63"/>
      <c r="F4" s="63"/>
      <c r="G4" s="64">
        <f t="shared" ref="G4:G34" si="0">C4+E4</f>
        <v>12015.5</v>
      </c>
      <c r="H4" s="63"/>
      <c r="I4" s="64"/>
      <c r="J4" s="64"/>
      <c r="K4" s="64">
        <v>12015.5</v>
      </c>
      <c r="L4" s="64"/>
    </row>
    <row r="5" spans="1:12" ht="15.75" thickBot="1" x14ac:dyDescent="0.3">
      <c r="A5" s="62">
        <v>3</v>
      </c>
      <c r="B5" s="54" t="s">
        <v>71</v>
      </c>
      <c r="C5" s="63">
        <v>1044</v>
      </c>
      <c r="D5" s="63"/>
      <c r="E5" s="63"/>
      <c r="F5" s="63"/>
      <c r="G5" s="64">
        <f t="shared" si="0"/>
        <v>1044</v>
      </c>
      <c r="H5" s="63"/>
      <c r="I5" s="64"/>
      <c r="J5" s="64"/>
      <c r="K5" s="64">
        <v>1044</v>
      </c>
      <c r="L5" s="64"/>
    </row>
    <row r="6" spans="1:12" ht="14.25" customHeight="1" thickBot="1" x14ac:dyDescent="0.3">
      <c r="A6" s="62">
        <v>4</v>
      </c>
      <c r="B6" s="54" t="s">
        <v>72</v>
      </c>
      <c r="C6" s="63">
        <v>6900</v>
      </c>
      <c r="D6" s="63"/>
      <c r="E6" s="66">
        <v>37.57</v>
      </c>
      <c r="F6" s="63"/>
      <c r="G6" s="64">
        <f t="shared" si="0"/>
        <v>6937.57</v>
      </c>
      <c r="H6" s="63"/>
      <c r="I6" s="64"/>
      <c r="J6" s="64"/>
      <c r="K6" s="64">
        <v>6937.57</v>
      </c>
      <c r="L6" s="64"/>
    </row>
    <row r="7" spans="1:12" ht="16.5" customHeight="1" thickBot="1" x14ac:dyDescent="0.3">
      <c r="A7" s="62">
        <v>5</v>
      </c>
      <c r="B7" s="54" t="s">
        <v>17</v>
      </c>
      <c r="C7" s="63">
        <v>10000</v>
      </c>
      <c r="D7" s="63"/>
      <c r="E7" s="66">
        <v>54.45</v>
      </c>
      <c r="F7" s="63"/>
      <c r="G7" s="64">
        <f t="shared" si="0"/>
        <v>10054.450000000001</v>
      </c>
      <c r="H7" s="63"/>
      <c r="I7" s="64"/>
      <c r="J7" s="64"/>
      <c r="K7" s="64">
        <v>10054.450000000001</v>
      </c>
      <c r="L7" s="64"/>
    </row>
    <row r="8" spans="1:12" ht="18" customHeight="1" thickBot="1" x14ac:dyDescent="0.3">
      <c r="A8" s="62">
        <v>6</v>
      </c>
      <c r="B8" s="54" t="s">
        <v>73</v>
      </c>
      <c r="C8" s="63">
        <v>11500</v>
      </c>
      <c r="D8" s="63"/>
      <c r="E8" s="63"/>
      <c r="F8" s="63"/>
      <c r="G8" s="64">
        <f t="shared" si="0"/>
        <v>11500</v>
      </c>
      <c r="H8" s="63"/>
      <c r="I8" s="64">
        <v>11500</v>
      </c>
      <c r="J8" s="64"/>
      <c r="K8" s="64"/>
      <c r="L8" s="64"/>
    </row>
    <row r="9" spans="1:12" ht="14.25" customHeight="1" thickBot="1" x14ac:dyDescent="0.3">
      <c r="A9" s="62">
        <v>7</v>
      </c>
      <c r="B9" s="54" t="s">
        <v>74</v>
      </c>
      <c r="C9" s="63">
        <v>2000</v>
      </c>
      <c r="D9" s="63"/>
      <c r="E9" s="63"/>
      <c r="F9" s="63"/>
      <c r="G9" s="64">
        <f t="shared" si="0"/>
        <v>2000</v>
      </c>
      <c r="H9" s="63"/>
      <c r="I9" s="64">
        <v>2000</v>
      </c>
      <c r="J9" s="64"/>
      <c r="K9" s="64"/>
      <c r="L9" s="64"/>
    </row>
    <row r="10" spans="1:12" ht="12" customHeight="1" thickBot="1" x14ac:dyDescent="0.3">
      <c r="A10" s="62">
        <v>8</v>
      </c>
      <c r="B10" s="54" t="s">
        <v>20</v>
      </c>
      <c r="C10" s="63"/>
      <c r="D10" s="63">
        <v>71444</v>
      </c>
      <c r="E10" s="63"/>
      <c r="F10" s="63"/>
      <c r="G10" s="64"/>
      <c r="H10" s="63">
        <f t="shared" ref="H10:H33" si="1">D10+F10</f>
        <v>71444</v>
      </c>
      <c r="I10" s="64"/>
      <c r="J10" s="64"/>
      <c r="K10" s="64"/>
      <c r="L10" s="64">
        <v>71444</v>
      </c>
    </row>
    <row r="11" spans="1:12" ht="14.25" customHeight="1" thickBot="1" x14ac:dyDescent="0.3">
      <c r="A11" s="62">
        <v>9</v>
      </c>
      <c r="B11" s="54" t="s">
        <v>75</v>
      </c>
      <c r="C11" s="63">
        <v>1740</v>
      </c>
      <c r="D11" s="63"/>
      <c r="E11" s="63"/>
      <c r="F11" s="63">
        <v>435</v>
      </c>
      <c r="G11" s="64">
        <f>C11-F11</f>
        <v>1305</v>
      </c>
      <c r="H11" s="63"/>
      <c r="I11" s="64"/>
      <c r="J11" s="64"/>
      <c r="K11" s="64">
        <v>1305</v>
      </c>
      <c r="L11" s="64"/>
    </row>
    <row r="12" spans="1:12" ht="15.75" thickBot="1" x14ac:dyDescent="0.3">
      <c r="A12" s="62">
        <v>10</v>
      </c>
      <c r="B12" s="54" t="s">
        <v>21</v>
      </c>
      <c r="C12" s="63">
        <v>2819</v>
      </c>
      <c r="D12" s="63"/>
      <c r="E12" s="63"/>
      <c r="F12" s="63"/>
      <c r="G12" s="64">
        <f t="shared" si="0"/>
        <v>2819</v>
      </c>
      <c r="H12" s="63"/>
      <c r="I12" s="64"/>
      <c r="J12" s="64"/>
      <c r="K12" s="64">
        <v>2819</v>
      </c>
      <c r="L12" s="64"/>
    </row>
    <row r="13" spans="1:12" ht="15.75" thickBot="1" x14ac:dyDescent="0.3">
      <c r="A13" s="62">
        <v>11</v>
      </c>
      <c r="B13" s="54" t="s">
        <v>22</v>
      </c>
      <c r="C13" s="63">
        <v>16530</v>
      </c>
      <c r="D13" s="63"/>
      <c r="E13" s="63"/>
      <c r="F13" s="63"/>
      <c r="G13" s="64">
        <f t="shared" si="0"/>
        <v>16530</v>
      </c>
      <c r="H13" s="63"/>
      <c r="I13" s="64">
        <v>1653</v>
      </c>
      <c r="J13" s="64"/>
      <c r="K13" s="64"/>
      <c r="L13" s="64"/>
    </row>
    <row r="14" spans="1:12" ht="15.75" thickBot="1" x14ac:dyDescent="0.3">
      <c r="A14" s="62">
        <v>12</v>
      </c>
      <c r="B14" s="54" t="s">
        <v>25</v>
      </c>
      <c r="C14" s="63">
        <v>349.84</v>
      </c>
      <c r="D14" s="63"/>
      <c r="E14" s="63"/>
      <c r="F14" s="63"/>
      <c r="G14" s="64">
        <f t="shared" si="0"/>
        <v>349.84</v>
      </c>
      <c r="H14" s="63"/>
      <c r="I14" s="64">
        <v>349.84</v>
      </c>
      <c r="J14" s="64"/>
      <c r="K14" s="64"/>
      <c r="L14" s="64"/>
    </row>
    <row r="15" spans="1:12" ht="15.75" thickBot="1" x14ac:dyDescent="0.3">
      <c r="A15" s="62">
        <v>13</v>
      </c>
      <c r="B15" s="54" t="s">
        <v>26</v>
      </c>
      <c r="C15" s="63"/>
      <c r="D15" s="63">
        <v>10026.75</v>
      </c>
      <c r="E15" s="63"/>
      <c r="F15" s="63"/>
      <c r="G15" s="64"/>
      <c r="H15" s="63">
        <f t="shared" si="1"/>
        <v>10026.75</v>
      </c>
      <c r="I15" s="64"/>
      <c r="J15" s="64">
        <v>10026.75</v>
      </c>
      <c r="K15" s="64"/>
      <c r="L15" s="64"/>
    </row>
    <row r="16" spans="1:12" ht="15.75" thickBot="1" x14ac:dyDescent="0.3">
      <c r="A16" s="62">
        <v>14</v>
      </c>
      <c r="B16" s="54" t="s">
        <v>27</v>
      </c>
      <c r="C16" s="63"/>
      <c r="D16" s="63">
        <v>1560.52</v>
      </c>
      <c r="E16" s="63"/>
      <c r="F16" s="63"/>
      <c r="G16" s="64"/>
      <c r="H16" s="63">
        <f t="shared" si="1"/>
        <v>1560.52</v>
      </c>
      <c r="I16" s="64"/>
      <c r="J16" s="64"/>
      <c r="K16" s="64"/>
      <c r="L16" s="64">
        <v>1560.52</v>
      </c>
    </row>
    <row r="17" spans="1:12" ht="15.75" thickBot="1" x14ac:dyDescent="0.3">
      <c r="A17" s="62">
        <v>15</v>
      </c>
      <c r="B17" s="54" t="s">
        <v>28</v>
      </c>
      <c r="C17" s="63"/>
      <c r="D17" s="63">
        <v>349.84</v>
      </c>
      <c r="E17" s="63"/>
      <c r="F17" s="63"/>
      <c r="G17" s="64"/>
      <c r="H17" s="63">
        <f t="shared" si="1"/>
        <v>349.84</v>
      </c>
      <c r="I17" s="64"/>
      <c r="J17" s="64"/>
      <c r="K17" s="64"/>
      <c r="L17" s="64">
        <v>349.84</v>
      </c>
    </row>
    <row r="18" spans="1:12" ht="15" customHeight="1" thickBot="1" x14ac:dyDescent="0.3">
      <c r="A18" s="62">
        <v>16</v>
      </c>
      <c r="B18" s="54" t="s">
        <v>30</v>
      </c>
      <c r="C18" s="63">
        <v>102.31</v>
      </c>
      <c r="D18" s="63"/>
      <c r="E18" s="63"/>
      <c r="F18" s="63"/>
      <c r="G18" s="64">
        <f t="shared" si="0"/>
        <v>102.31</v>
      </c>
      <c r="H18" s="63"/>
      <c r="I18" s="64">
        <v>102.31</v>
      </c>
      <c r="J18" s="64"/>
      <c r="K18" s="64"/>
      <c r="L18" s="64"/>
    </row>
    <row r="19" spans="1:12" ht="15" customHeight="1" thickBot="1" x14ac:dyDescent="0.3">
      <c r="A19" s="62">
        <v>17</v>
      </c>
      <c r="B19" s="54" t="s">
        <v>76</v>
      </c>
      <c r="C19" s="63">
        <v>672.5</v>
      </c>
      <c r="D19" s="63"/>
      <c r="E19" s="63"/>
      <c r="F19" s="63"/>
      <c r="G19" s="64">
        <f t="shared" si="0"/>
        <v>672.5</v>
      </c>
      <c r="H19" s="63"/>
      <c r="I19" s="64"/>
      <c r="J19" s="64"/>
      <c r="K19" s="64">
        <v>672.5</v>
      </c>
      <c r="L19" s="64"/>
    </row>
    <row r="20" spans="1:12" ht="15" customHeight="1" thickBot="1" x14ac:dyDescent="0.3">
      <c r="A20" s="62">
        <v>18</v>
      </c>
      <c r="B20" s="54" t="s">
        <v>77</v>
      </c>
      <c r="C20" s="63"/>
      <c r="D20" s="63">
        <v>195.75</v>
      </c>
      <c r="E20" s="63"/>
      <c r="F20" s="63"/>
      <c r="G20" s="64"/>
      <c r="H20" s="63">
        <f t="shared" si="1"/>
        <v>195.75</v>
      </c>
      <c r="I20" s="64"/>
      <c r="J20" s="64">
        <v>195.75</v>
      </c>
      <c r="K20" s="64"/>
      <c r="L20" s="64"/>
    </row>
    <row r="21" spans="1:12" ht="15" customHeight="1" thickBot="1" x14ac:dyDescent="0.3">
      <c r="A21" s="62">
        <v>19</v>
      </c>
      <c r="B21" s="54" t="s">
        <v>29</v>
      </c>
      <c r="C21" s="63">
        <v>6754</v>
      </c>
      <c r="D21" s="63"/>
      <c r="E21" s="63"/>
      <c r="F21" s="63"/>
      <c r="G21" s="64">
        <f t="shared" si="0"/>
        <v>6754</v>
      </c>
      <c r="H21" s="63"/>
      <c r="I21" s="64"/>
      <c r="J21" s="64"/>
      <c r="K21" s="64">
        <v>6754</v>
      </c>
      <c r="L21" s="64"/>
    </row>
    <row r="22" spans="1:12" ht="14.25" customHeight="1" thickBot="1" x14ac:dyDescent="0.3">
      <c r="A22" s="62">
        <v>20</v>
      </c>
      <c r="B22" s="54" t="s">
        <v>78</v>
      </c>
      <c r="C22" s="63"/>
      <c r="D22" s="63">
        <v>220.98</v>
      </c>
      <c r="E22" s="63"/>
      <c r="F22" s="63"/>
      <c r="G22" s="64"/>
      <c r="H22" s="63">
        <f t="shared" si="1"/>
        <v>220.98</v>
      </c>
      <c r="I22" s="64"/>
      <c r="J22" s="64">
        <v>220.98</v>
      </c>
      <c r="K22" s="64"/>
      <c r="L22" s="64"/>
    </row>
    <row r="23" spans="1:12" ht="15" customHeight="1" thickBot="1" x14ac:dyDescent="0.3">
      <c r="A23" s="62">
        <v>21</v>
      </c>
      <c r="B23" s="54" t="s">
        <v>33</v>
      </c>
      <c r="C23" s="63">
        <v>147.9</v>
      </c>
      <c r="D23" s="63"/>
      <c r="E23" s="63"/>
      <c r="F23" s="63"/>
      <c r="G23" s="64">
        <f t="shared" si="0"/>
        <v>147.9</v>
      </c>
      <c r="H23" s="63"/>
      <c r="I23" s="64">
        <v>147.9</v>
      </c>
      <c r="J23" s="64"/>
      <c r="K23" s="64"/>
      <c r="L23" s="64"/>
    </row>
    <row r="24" spans="1:12" ht="15" customHeight="1" thickBot="1" x14ac:dyDescent="0.3">
      <c r="A24" s="62">
        <v>22</v>
      </c>
      <c r="B24" s="54" t="s">
        <v>23</v>
      </c>
      <c r="C24" s="63"/>
      <c r="D24" s="63">
        <v>8670</v>
      </c>
      <c r="E24" s="63"/>
      <c r="F24" s="63"/>
      <c r="G24" s="64"/>
      <c r="H24" s="63">
        <f t="shared" si="1"/>
        <v>8670</v>
      </c>
      <c r="I24" s="64"/>
      <c r="J24" s="64"/>
      <c r="K24" s="64"/>
      <c r="L24" s="64">
        <v>8670</v>
      </c>
    </row>
    <row r="25" spans="1:12" ht="15" customHeight="1" thickBot="1" x14ac:dyDescent="0.3">
      <c r="A25" s="62">
        <v>23</v>
      </c>
      <c r="B25" s="54" t="s">
        <v>79</v>
      </c>
      <c r="C25" s="63">
        <v>348</v>
      </c>
      <c r="D25" s="63"/>
      <c r="E25" s="63"/>
      <c r="F25" s="63"/>
      <c r="G25" s="64">
        <f t="shared" si="0"/>
        <v>348</v>
      </c>
      <c r="H25" s="63"/>
      <c r="I25" s="64">
        <v>348</v>
      </c>
      <c r="J25" s="64"/>
      <c r="K25" s="64"/>
      <c r="L25" s="64"/>
    </row>
    <row r="26" spans="1:12" ht="15.75" thickBot="1" x14ac:dyDescent="0.3">
      <c r="A26" s="62"/>
      <c r="B26" s="54"/>
      <c r="C26" s="64"/>
      <c r="D26" s="64"/>
      <c r="E26" s="63"/>
      <c r="F26" s="63"/>
      <c r="G26" s="64"/>
      <c r="H26" s="63"/>
      <c r="I26" s="64"/>
      <c r="J26" s="64"/>
      <c r="K26" s="64"/>
      <c r="L26" s="64"/>
    </row>
    <row r="27" spans="1:12" ht="15.75" thickBot="1" x14ac:dyDescent="0.3">
      <c r="A27" s="62"/>
      <c r="B27" s="54" t="s">
        <v>39</v>
      </c>
      <c r="C27" s="65">
        <v>92467.839999999997</v>
      </c>
      <c r="D27" s="65">
        <v>92467.839999999997</v>
      </c>
      <c r="E27" s="63"/>
      <c r="F27" s="63"/>
      <c r="G27" s="64"/>
      <c r="H27" s="63"/>
      <c r="I27" s="64"/>
      <c r="J27" s="64"/>
      <c r="K27" s="64"/>
      <c r="L27" s="64"/>
    </row>
    <row r="28" spans="1:12" ht="15.75" thickBot="1" x14ac:dyDescent="0.3">
      <c r="A28" s="62">
        <v>24</v>
      </c>
      <c r="B28" s="54" t="s">
        <v>80</v>
      </c>
      <c r="C28" s="54"/>
      <c r="D28" s="54"/>
      <c r="E28" s="63"/>
      <c r="F28" s="63">
        <v>92.02</v>
      </c>
      <c r="G28" s="64"/>
      <c r="H28" s="63">
        <f t="shared" si="1"/>
        <v>92.02</v>
      </c>
      <c r="I28" s="64"/>
      <c r="J28" s="64">
        <v>92.02</v>
      </c>
      <c r="K28" s="64"/>
      <c r="L28" s="64"/>
    </row>
    <row r="29" spans="1:12" ht="15.75" thickBot="1" x14ac:dyDescent="0.3">
      <c r="A29" s="62"/>
      <c r="B29" s="54"/>
      <c r="C29" s="54"/>
      <c r="D29" s="54"/>
      <c r="E29" s="63"/>
      <c r="F29" s="63"/>
      <c r="G29" s="64"/>
      <c r="H29" s="63"/>
      <c r="I29" s="64"/>
      <c r="J29" s="64"/>
      <c r="K29" s="64"/>
      <c r="L29" s="64"/>
    </row>
    <row r="30" spans="1:12" ht="16.5" customHeight="1" thickBot="1" x14ac:dyDescent="0.3">
      <c r="A30" s="62">
        <v>25</v>
      </c>
      <c r="B30" s="54" t="s">
        <v>41</v>
      </c>
      <c r="C30" s="54"/>
      <c r="D30" s="54"/>
      <c r="E30" s="63">
        <v>1004.54</v>
      </c>
      <c r="F30" s="63"/>
      <c r="G30" s="64">
        <f t="shared" si="0"/>
        <v>1004.54</v>
      </c>
      <c r="H30" s="63"/>
      <c r="I30" s="64">
        <v>1004.54</v>
      </c>
      <c r="J30" s="64"/>
      <c r="K30" s="64"/>
      <c r="L30" s="64"/>
    </row>
    <row r="31" spans="1:12" ht="15" customHeight="1" thickBot="1" x14ac:dyDescent="0.3">
      <c r="A31" s="62">
        <v>26</v>
      </c>
      <c r="B31" s="54" t="s">
        <v>81</v>
      </c>
      <c r="C31" s="54"/>
      <c r="D31" s="54"/>
      <c r="E31" s="63">
        <v>1734.39</v>
      </c>
      <c r="F31" s="63"/>
      <c r="G31" s="64">
        <f t="shared" si="0"/>
        <v>1734.39</v>
      </c>
      <c r="H31" s="63"/>
      <c r="I31" s="64">
        <v>1734.39</v>
      </c>
      <c r="J31" s="64"/>
      <c r="K31" s="64"/>
      <c r="L31" s="64"/>
    </row>
    <row r="32" spans="1:12" ht="15.75" thickBot="1" x14ac:dyDescent="0.3">
      <c r="A32" s="62">
        <v>27</v>
      </c>
      <c r="B32" s="54" t="s">
        <v>82</v>
      </c>
      <c r="C32" s="54"/>
      <c r="D32" s="54"/>
      <c r="E32" s="63"/>
      <c r="F32" s="63">
        <v>1004.54</v>
      </c>
      <c r="G32" s="64"/>
      <c r="H32" s="63">
        <f t="shared" si="1"/>
        <v>1004.54</v>
      </c>
      <c r="I32" s="64"/>
      <c r="J32" s="64"/>
      <c r="K32" s="64"/>
      <c r="L32" s="64">
        <v>1004.54</v>
      </c>
    </row>
    <row r="33" spans="1:12" ht="13.5" customHeight="1" thickBot="1" x14ac:dyDescent="0.3">
      <c r="A33" s="62">
        <v>28</v>
      </c>
      <c r="B33" s="54" t="s">
        <v>83</v>
      </c>
      <c r="C33" s="54"/>
      <c r="D33" s="54"/>
      <c r="E33" s="63"/>
      <c r="F33" s="63">
        <v>1734.39</v>
      </c>
      <c r="G33" s="64"/>
      <c r="H33" s="63">
        <f t="shared" si="1"/>
        <v>1734.39</v>
      </c>
      <c r="I33" s="64"/>
      <c r="J33" s="64"/>
      <c r="K33" s="64"/>
      <c r="L33" s="64">
        <v>1734.39</v>
      </c>
    </row>
    <row r="34" spans="1:12" ht="15.75" thickBot="1" x14ac:dyDescent="0.3">
      <c r="A34" s="62">
        <v>29</v>
      </c>
      <c r="B34" s="54" t="s">
        <v>84</v>
      </c>
      <c r="C34" s="54"/>
      <c r="D34" s="54"/>
      <c r="E34" s="63">
        <v>435</v>
      </c>
      <c r="F34" s="63"/>
      <c r="G34" s="64">
        <f t="shared" si="0"/>
        <v>435</v>
      </c>
      <c r="H34" s="63"/>
      <c r="I34" s="64">
        <v>435</v>
      </c>
      <c r="J34" s="64"/>
      <c r="K34" s="64"/>
      <c r="L34" s="64"/>
    </row>
    <row r="35" spans="1:12" ht="15.75" thickBot="1" x14ac:dyDescent="0.3">
      <c r="A35" s="62"/>
      <c r="B35" s="54" t="s">
        <v>39</v>
      </c>
      <c r="C35" s="54"/>
      <c r="D35" s="54"/>
      <c r="E35" s="65">
        <v>3265.95</v>
      </c>
      <c r="F35" s="65">
        <v>3265.95</v>
      </c>
      <c r="G35" s="64">
        <f>G3+G4+G5+G6+G7+G8+G9+G10+G11+G12+G13+G14+G15+G16+G17+G18+G19+G20+G21+G22+G23+G24+G25+G26+G27+G28+G29+G30+G31+G32+G33+G34</f>
        <v>95298.39999999998</v>
      </c>
      <c r="H35" s="64">
        <f>H3+H4+H5+H6+H7+H8+H9+H10+H11+H12+H13+H14+H15+H16+H17+H18+H19+H20+H21+H22+H23+H24+H25+H26+H27+H28+H29+H30+H31+H32+H33+H34</f>
        <v>95298.79</v>
      </c>
      <c r="I35" s="64">
        <f t="shared" ref="I35:L35" si="2">I3+I4+I5+I6+I7+I8+I9+I10+I11+I12+I13+I14+I15+I16+I17+I18+I19+I20+I21+I22+I23+I24+I25+I26+I27+I28+I29+I30+I31+I32+I33+I34</f>
        <v>19274.98</v>
      </c>
      <c r="J35" s="64">
        <f t="shared" si="2"/>
        <v>10535.5</v>
      </c>
      <c r="K35" s="64">
        <f t="shared" si="2"/>
        <v>61146.42</v>
      </c>
      <c r="L35" s="64">
        <f t="shared" si="2"/>
        <v>84763.29</v>
      </c>
    </row>
    <row r="36" spans="1:12" ht="15.75" thickBot="1" x14ac:dyDescent="0.3">
      <c r="A36" s="62"/>
      <c r="B36" s="54" t="s">
        <v>46</v>
      </c>
      <c r="C36" s="54"/>
      <c r="D36" s="54"/>
      <c r="E36" s="55"/>
      <c r="F36" s="55"/>
      <c r="G36" s="54"/>
      <c r="H36" s="54"/>
      <c r="I36" s="64"/>
      <c r="J36" s="64">
        <v>8739.48</v>
      </c>
      <c r="K36" s="64">
        <v>23616.87</v>
      </c>
      <c r="L36" s="64"/>
    </row>
    <row r="37" spans="1:12" ht="15" customHeight="1" thickBot="1" x14ac:dyDescent="0.3">
      <c r="A37" s="62"/>
      <c r="B37" s="56" t="s">
        <v>47</v>
      </c>
      <c r="C37" s="56"/>
      <c r="D37" s="56"/>
      <c r="E37" s="57"/>
      <c r="F37" s="57"/>
      <c r="G37" s="56"/>
      <c r="H37" s="56"/>
      <c r="I37" s="67"/>
      <c r="J37" s="67"/>
      <c r="K37" s="67"/>
      <c r="L37" s="67"/>
    </row>
  </sheetData>
  <mergeCells count="7">
    <mergeCell ref="K1:L1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7FD9-8A84-4D8E-AAB4-589C3CFFBA99}">
  <dimension ref="A1:F67"/>
  <sheetViews>
    <sheetView topLeftCell="A37" workbookViewId="0">
      <selection activeCell="D70" sqref="D70"/>
    </sheetView>
  </sheetViews>
  <sheetFormatPr baseColWidth="10" defaultRowHeight="15" x14ac:dyDescent="0.25"/>
  <cols>
    <col min="2" max="2" width="35" customWidth="1"/>
  </cols>
  <sheetData>
    <row r="1" spans="1:6" x14ac:dyDescent="0.25">
      <c r="A1" s="11" t="s">
        <v>49</v>
      </c>
    </row>
    <row r="2" spans="1:6" x14ac:dyDescent="0.25">
      <c r="A2" s="11" t="s">
        <v>50</v>
      </c>
    </row>
    <row r="3" spans="1:6" ht="15.75" thickBot="1" x14ac:dyDescent="0.3">
      <c r="A3" s="11" t="s">
        <v>51</v>
      </c>
    </row>
    <row r="4" spans="1:6" ht="15.75" thickBot="1" x14ac:dyDescent="0.3">
      <c r="A4" s="49" t="s">
        <v>0</v>
      </c>
      <c r="B4" s="49" t="s">
        <v>1</v>
      </c>
      <c r="C4" s="51" t="s">
        <v>52</v>
      </c>
      <c r="D4" s="52"/>
      <c r="E4" s="51" t="s">
        <v>2</v>
      </c>
      <c r="F4" s="52"/>
    </row>
    <row r="5" spans="1:6" ht="15.75" thickBot="1" x14ac:dyDescent="0.3">
      <c r="A5" s="50"/>
      <c r="B5" s="50"/>
      <c r="C5" s="12" t="s">
        <v>9</v>
      </c>
      <c r="D5" s="12" t="s">
        <v>10</v>
      </c>
      <c r="E5" s="12" t="s">
        <v>7</v>
      </c>
      <c r="F5" s="12" t="s">
        <v>8</v>
      </c>
    </row>
    <row r="6" spans="1:6" x14ac:dyDescent="0.25">
      <c r="A6" s="13"/>
      <c r="B6" s="14"/>
      <c r="C6" s="16"/>
      <c r="D6" s="16"/>
      <c r="E6" s="18"/>
      <c r="F6" s="18"/>
    </row>
    <row r="7" spans="1:6" x14ac:dyDescent="0.25">
      <c r="A7" s="13">
        <v>1</v>
      </c>
      <c r="B7" s="14" t="s">
        <v>15</v>
      </c>
      <c r="C7" s="17">
        <v>212200</v>
      </c>
      <c r="D7" s="16" t="s">
        <v>53</v>
      </c>
      <c r="E7" s="17">
        <v>105420</v>
      </c>
      <c r="F7" s="18"/>
    </row>
    <row r="8" spans="1:6" x14ac:dyDescent="0.25">
      <c r="A8" s="13">
        <v>2</v>
      </c>
      <c r="B8" s="14" t="s">
        <v>16</v>
      </c>
      <c r="C8" s="17">
        <v>50000</v>
      </c>
      <c r="D8" s="16"/>
      <c r="E8" s="17">
        <v>50000</v>
      </c>
      <c r="F8" s="18"/>
    </row>
    <row r="9" spans="1:6" ht="30" x14ac:dyDescent="0.25">
      <c r="A9" s="13">
        <v>3</v>
      </c>
      <c r="B9" s="14" t="s">
        <v>17</v>
      </c>
      <c r="C9" s="17">
        <v>31049</v>
      </c>
      <c r="D9" s="16"/>
      <c r="E9" s="17">
        <v>31049</v>
      </c>
      <c r="F9" s="18"/>
    </row>
    <row r="10" spans="1:6" x14ac:dyDescent="0.25">
      <c r="A10" s="13">
        <v>4</v>
      </c>
      <c r="B10" s="14" t="s">
        <v>18</v>
      </c>
      <c r="C10" s="17">
        <v>10000</v>
      </c>
      <c r="D10" s="16"/>
      <c r="E10" s="17">
        <v>10000</v>
      </c>
      <c r="F10" s="18"/>
    </row>
    <row r="11" spans="1:6" ht="30" x14ac:dyDescent="0.25">
      <c r="A11" s="13">
        <v>5</v>
      </c>
      <c r="B11" s="14" t="s">
        <v>19</v>
      </c>
      <c r="C11" s="16"/>
      <c r="D11" s="17">
        <v>32800</v>
      </c>
      <c r="E11" s="18"/>
      <c r="F11" s="17">
        <v>32800</v>
      </c>
    </row>
    <row r="12" spans="1:6" ht="30" x14ac:dyDescent="0.25">
      <c r="A12" s="13">
        <v>6</v>
      </c>
      <c r="B12" s="14" t="s">
        <v>20</v>
      </c>
      <c r="C12" s="16"/>
      <c r="D12" s="17">
        <v>150000</v>
      </c>
      <c r="E12" s="18"/>
      <c r="F12" s="17">
        <v>150000</v>
      </c>
    </row>
    <row r="13" spans="1:6" x14ac:dyDescent="0.25">
      <c r="A13" s="13">
        <v>7</v>
      </c>
      <c r="B13" s="14" t="s">
        <v>21</v>
      </c>
      <c r="C13" s="17">
        <v>22440.6</v>
      </c>
      <c r="D13" s="16"/>
      <c r="E13" s="17">
        <v>22440.6</v>
      </c>
      <c r="F13" s="18"/>
    </row>
    <row r="14" spans="1:6" x14ac:dyDescent="0.25">
      <c r="A14" s="13">
        <v>8</v>
      </c>
      <c r="B14" s="14" t="s">
        <v>22</v>
      </c>
      <c r="C14" s="17">
        <v>125280</v>
      </c>
      <c r="D14" s="16"/>
      <c r="E14" s="17">
        <v>125280</v>
      </c>
      <c r="F14" s="18"/>
    </row>
    <row r="15" spans="1:6" ht="30" x14ac:dyDescent="0.25">
      <c r="A15" s="13">
        <v>9</v>
      </c>
      <c r="B15" s="14" t="s">
        <v>23</v>
      </c>
      <c r="C15" s="17">
        <v>6750</v>
      </c>
      <c r="D15" s="17">
        <v>39140</v>
      </c>
      <c r="E15" s="18"/>
      <c r="F15" s="17">
        <v>32390</v>
      </c>
    </row>
    <row r="16" spans="1:6" x14ac:dyDescent="0.25">
      <c r="A16" s="13">
        <v>10</v>
      </c>
      <c r="B16" s="14" t="s">
        <v>24</v>
      </c>
      <c r="C16" s="16">
        <v>887.4</v>
      </c>
      <c r="D16" s="16"/>
      <c r="E16" s="16">
        <v>887.4</v>
      </c>
      <c r="F16" s="18"/>
    </row>
    <row r="17" spans="1:6" x14ac:dyDescent="0.25">
      <c r="A17" s="13">
        <v>11</v>
      </c>
      <c r="B17" s="14" t="s">
        <v>25</v>
      </c>
      <c r="C17" s="17">
        <v>5790</v>
      </c>
      <c r="D17" s="16">
        <v>210</v>
      </c>
      <c r="E17" s="17">
        <v>5580</v>
      </c>
      <c r="F17" s="18"/>
    </row>
    <row r="18" spans="1:6" x14ac:dyDescent="0.25">
      <c r="A18" s="13">
        <v>12</v>
      </c>
      <c r="B18" s="14" t="s">
        <v>26</v>
      </c>
      <c r="C18" s="16"/>
      <c r="D18" s="17">
        <v>169650</v>
      </c>
      <c r="E18" s="18"/>
      <c r="F18" s="17">
        <v>169650</v>
      </c>
    </row>
    <row r="19" spans="1:6" x14ac:dyDescent="0.25">
      <c r="A19" s="13">
        <v>13</v>
      </c>
      <c r="B19" s="14" t="s">
        <v>27</v>
      </c>
      <c r="C19" s="16"/>
      <c r="D19" s="17">
        <v>26474.5</v>
      </c>
      <c r="E19" s="18"/>
      <c r="F19" s="17">
        <v>26474.5</v>
      </c>
    </row>
    <row r="20" spans="1:6" x14ac:dyDescent="0.25">
      <c r="A20" s="13">
        <v>14</v>
      </c>
      <c r="B20" s="14" t="s">
        <v>28</v>
      </c>
      <c r="C20" s="16">
        <v>210</v>
      </c>
      <c r="D20" s="17">
        <v>5790</v>
      </c>
      <c r="E20" s="18"/>
      <c r="F20" s="17">
        <v>5580</v>
      </c>
    </row>
    <row r="21" spans="1:6" ht="30" x14ac:dyDescent="0.25">
      <c r="A21" s="13">
        <v>15</v>
      </c>
      <c r="B21" s="14" t="s">
        <v>29</v>
      </c>
      <c r="C21" s="17">
        <v>60800</v>
      </c>
      <c r="D21" s="16"/>
      <c r="E21" s="17">
        <v>60800</v>
      </c>
      <c r="F21" s="18"/>
    </row>
    <row r="22" spans="1:6" ht="30" x14ac:dyDescent="0.25">
      <c r="A22" s="13">
        <v>16</v>
      </c>
      <c r="B22" s="14" t="s">
        <v>30</v>
      </c>
      <c r="C22" s="17">
        <v>2610</v>
      </c>
      <c r="D22" s="16"/>
      <c r="E22" s="17">
        <v>2610</v>
      </c>
      <c r="F22" s="18"/>
    </row>
    <row r="23" spans="1:6" ht="30" x14ac:dyDescent="0.25">
      <c r="A23" s="13">
        <v>17</v>
      </c>
      <c r="B23" s="14" t="s">
        <v>31</v>
      </c>
      <c r="C23" s="16"/>
      <c r="D23" s="16">
        <v>783</v>
      </c>
      <c r="E23" s="18"/>
      <c r="F23" s="16">
        <v>783</v>
      </c>
    </row>
    <row r="24" spans="1:6" ht="30" x14ac:dyDescent="0.25">
      <c r="A24" s="13">
        <v>18</v>
      </c>
      <c r="B24" s="14" t="s">
        <v>32</v>
      </c>
      <c r="C24" s="16"/>
      <c r="D24" s="16">
        <v>870</v>
      </c>
      <c r="E24" s="18"/>
      <c r="F24" s="16">
        <v>870</v>
      </c>
    </row>
    <row r="25" spans="1:6" ht="30" x14ac:dyDescent="0.25">
      <c r="A25" s="13">
        <v>19</v>
      </c>
      <c r="B25" s="14" t="s">
        <v>33</v>
      </c>
      <c r="C25" s="16">
        <v>556.79999999999995</v>
      </c>
      <c r="D25" s="16"/>
      <c r="E25" s="16">
        <v>556.79999999999995</v>
      </c>
      <c r="F25" s="18"/>
    </row>
    <row r="26" spans="1:6" x14ac:dyDescent="0.25">
      <c r="A26" s="13">
        <v>20</v>
      </c>
      <c r="B26" s="14" t="s">
        <v>34</v>
      </c>
      <c r="C26" s="17">
        <v>6090</v>
      </c>
      <c r="D26" s="16"/>
      <c r="E26" s="17">
        <v>6090</v>
      </c>
      <c r="F26" s="18"/>
    </row>
    <row r="27" spans="1:6" x14ac:dyDescent="0.25">
      <c r="A27" s="13">
        <v>21</v>
      </c>
      <c r="B27" s="14" t="s">
        <v>35</v>
      </c>
      <c r="C27" s="16"/>
      <c r="D27" s="17">
        <v>5872.5</v>
      </c>
      <c r="E27" s="18"/>
      <c r="F27" s="17">
        <v>5872.5</v>
      </c>
    </row>
    <row r="28" spans="1:6" ht="30" x14ac:dyDescent="0.25">
      <c r="A28" s="13">
        <v>22</v>
      </c>
      <c r="B28" s="14" t="s">
        <v>36</v>
      </c>
      <c r="C28" s="16">
        <v>435</v>
      </c>
      <c r="D28" s="16"/>
      <c r="E28" s="16">
        <v>435</v>
      </c>
      <c r="F28" s="18"/>
    </row>
    <row r="29" spans="1:6" x14ac:dyDescent="0.25">
      <c r="A29" s="13">
        <v>23</v>
      </c>
      <c r="B29" s="14" t="s">
        <v>37</v>
      </c>
      <c r="C29" s="16">
        <v>661.2</v>
      </c>
      <c r="D29" s="16"/>
      <c r="E29" s="16">
        <v>661.2</v>
      </c>
      <c r="F29" s="18"/>
    </row>
    <row r="30" spans="1:6" x14ac:dyDescent="0.25">
      <c r="A30" s="13">
        <v>24</v>
      </c>
      <c r="B30" s="14" t="s">
        <v>38</v>
      </c>
      <c r="C30" s="17">
        <v>2610</v>
      </c>
      <c r="D30" s="16"/>
      <c r="E30" s="17">
        <v>2610</v>
      </c>
      <c r="F30" s="18"/>
    </row>
    <row r="31" spans="1:6" x14ac:dyDescent="0.25">
      <c r="A31" s="13"/>
      <c r="B31" s="14"/>
      <c r="C31" s="16"/>
      <c r="D31" s="16"/>
      <c r="E31" s="18"/>
      <c r="F31" s="18"/>
    </row>
    <row r="32" spans="1:6" x14ac:dyDescent="0.25">
      <c r="A32" s="4"/>
      <c r="B32" s="14" t="s">
        <v>39</v>
      </c>
      <c r="C32" s="17">
        <v>538370</v>
      </c>
      <c r="D32" s="17">
        <v>538370</v>
      </c>
      <c r="E32" s="17">
        <v>424420</v>
      </c>
      <c r="F32" s="17">
        <v>424420</v>
      </c>
    </row>
    <row r="33" spans="1:6" ht="15.75" thickBot="1" x14ac:dyDescent="0.3">
      <c r="A33" s="5"/>
      <c r="B33" s="15"/>
      <c r="C33" s="10"/>
      <c r="D33" s="10"/>
      <c r="E33" s="10"/>
      <c r="F33" s="10"/>
    </row>
    <row r="35" spans="1:6" ht="15.75" thickBot="1" x14ac:dyDescent="0.3"/>
    <row r="36" spans="1:6" ht="16.5" thickBot="1" x14ac:dyDescent="0.3">
      <c r="A36" s="19" t="s">
        <v>54</v>
      </c>
      <c r="B36" s="20" t="s">
        <v>55</v>
      </c>
      <c r="C36" s="20" t="s">
        <v>56</v>
      </c>
      <c r="D36" s="20" t="s">
        <v>9</v>
      </c>
      <c r="E36" s="20" t="s">
        <v>10</v>
      </c>
    </row>
    <row r="37" spans="1:6" ht="15.75" x14ac:dyDescent="0.25">
      <c r="A37" s="21"/>
      <c r="B37" s="23"/>
      <c r="C37" s="46"/>
      <c r="D37" s="25"/>
      <c r="E37" s="25"/>
    </row>
    <row r="38" spans="1:6" ht="15.75" x14ac:dyDescent="0.25">
      <c r="A38" s="22">
        <v>44500</v>
      </c>
      <c r="B38" s="23" t="s">
        <v>57</v>
      </c>
      <c r="C38" s="47"/>
      <c r="D38" s="25"/>
      <c r="E38" s="25"/>
    </row>
    <row r="39" spans="1:6" ht="15.75" x14ac:dyDescent="0.25">
      <c r="A39" s="21"/>
      <c r="B39" s="24" t="s">
        <v>58</v>
      </c>
      <c r="C39" s="47"/>
      <c r="D39" s="25">
        <v>16.7</v>
      </c>
      <c r="E39" s="25"/>
    </row>
    <row r="40" spans="1:6" ht="15.75" x14ac:dyDescent="0.25">
      <c r="A40" s="21"/>
      <c r="B40" s="24" t="s">
        <v>59</v>
      </c>
      <c r="C40" s="47"/>
      <c r="D40" s="25">
        <v>6.87</v>
      </c>
      <c r="E40" s="25"/>
    </row>
    <row r="41" spans="1:6" ht="15.75" x14ac:dyDescent="0.25">
      <c r="A41" s="21"/>
      <c r="B41" s="23" t="s">
        <v>60</v>
      </c>
      <c r="C41" s="47"/>
      <c r="D41" s="25"/>
      <c r="E41" s="25">
        <v>23.57</v>
      </c>
    </row>
    <row r="42" spans="1:6" ht="15.75" x14ac:dyDescent="0.25">
      <c r="A42" s="21"/>
      <c r="B42" s="23" t="s">
        <v>61</v>
      </c>
      <c r="C42" s="47"/>
      <c r="D42" s="9"/>
      <c r="E42" s="25"/>
    </row>
    <row r="43" spans="1:6" ht="15.75" x14ac:dyDescent="0.25">
      <c r="A43" s="21"/>
      <c r="B43" s="9"/>
      <c r="C43" s="47"/>
      <c r="D43" s="9"/>
      <c r="E43" s="25"/>
    </row>
    <row r="44" spans="1:6" ht="15.75" x14ac:dyDescent="0.25">
      <c r="A44" s="21"/>
      <c r="B44" s="9"/>
      <c r="C44" s="47"/>
      <c r="D44" s="9"/>
      <c r="E44" s="25"/>
    </row>
    <row r="45" spans="1:6" ht="16.5" thickBot="1" x14ac:dyDescent="0.3">
      <c r="A45" s="5"/>
      <c r="B45" s="10"/>
      <c r="C45" s="48"/>
      <c r="D45" s="10"/>
      <c r="E45" s="26"/>
    </row>
    <row r="47" spans="1:6" ht="15.75" thickBot="1" x14ac:dyDescent="0.3"/>
    <row r="48" spans="1:6" ht="16.5" thickBot="1" x14ac:dyDescent="0.3">
      <c r="A48" s="27" t="s">
        <v>54</v>
      </c>
      <c r="B48" s="20" t="s">
        <v>55</v>
      </c>
      <c r="C48" s="20" t="s">
        <v>56</v>
      </c>
      <c r="D48" s="20" t="s">
        <v>9</v>
      </c>
      <c r="E48" s="20" t="s">
        <v>10</v>
      </c>
    </row>
    <row r="49" spans="1:5" ht="15.75" x14ac:dyDescent="0.25">
      <c r="A49" s="21"/>
      <c r="B49" s="23"/>
      <c r="C49" s="46"/>
      <c r="D49" s="25"/>
      <c r="E49" s="25"/>
    </row>
    <row r="50" spans="1:5" ht="15.75" x14ac:dyDescent="0.25">
      <c r="A50" s="22">
        <v>44500</v>
      </c>
      <c r="B50" s="23" t="s">
        <v>57</v>
      </c>
      <c r="C50" s="47"/>
      <c r="D50" s="25"/>
      <c r="E50" s="25"/>
    </row>
    <row r="51" spans="1:5" ht="15.75" x14ac:dyDescent="0.25">
      <c r="A51" s="21"/>
      <c r="B51" s="24" t="s">
        <v>62</v>
      </c>
      <c r="C51" s="47"/>
      <c r="D51" s="25">
        <v>425.66</v>
      </c>
      <c r="E51" s="25"/>
    </row>
    <row r="52" spans="1:5" ht="15.75" x14ac:dyDescent="0.25">
      <c r="A52" s="21"/>
      <c r="B52" s="24" t="s">
        <v>63</v>
      </c>
      <c r="C52" s="47"/>
      <c r="D52" s="25">
        <v>416.95</v>
      </c>
      <c r="E52" s="25"/>
    </row>
    <row r="53" spans="1:5" ht="31.5" x14ac:dyDescent="0.25">
      <c r="A53" s="21"/>
      <c r="B53" s="23" t="s">
        <v>64</v>
      </c>
      <c r="C53" s="47"/>
      <c r="D53" s="9"/>
      <c r="E53" s="25">
        <v>425.66</v>
      </c>
    </row>
    <row r="54" spans="1:5" ht="31.5" x14ac:dyDescent="0.25">
      <c r="A54" s="21"/>
      <c r="B54" s="23" t="s">
        <v>65</v>
      </c>
      <c r="C54" s="47"/>
      <c r="D54" s="9"/>
      <c r="E54" s="25">
        <v>416.95</v>
      </c>
    </row>
    <row r="55" spans="1:5" ht="15.75" x14ac:dyDescent="0.25">
      <c r="A55" s="21"/>
      <c r="B55" s="23"/>
      <c r="C55" s="47"/>
      <c r="D55" s="9"/>
      <c r="E55" s="25"/>
    </row>
    <row r="56" spans="1:5" ht="32.25" thickBot="1" x14ac:dyDescent="0.3">
      <c r="A56" s="28"/>
      <c r="B56" s="29" t="s">
        <v>66</v>
      </c>
      <c r="C56" s="48"/>
      <c r="D56" s="10"/>
      <c r="E56" s="10"/>
    </row>
    <row r="58" spans="1:5" ht="15.75" thickBot="1" x14ac:dyDescent="0.3"/>
    <row r="59" spans="1:5" ht="16.5" thickBot="1" x14ac:dyDescent="0.3">
      <c r="A59" s="19" t="s">
        <v>54</v>
      </c>
      <c r="B59" s="20" t="s">
        <v>55</v>
      </c>
      <c r="C59" s="20" t="s">
        <v>56</v>
      </c>
      <c r="D59" s="20" t="s">
        <v>9</v>
      </c>
      <c r="E59" s="20" t="s">
        <v>10</v>
      </c>
    </row>
    <row r="60" spans="1:5" ht="15.75" x14ac:dyDescent="0.25">
      <c r="A60" s="21"/>
      <c r="B60" s="23"/>
      <c r="C60" s="46"/>
      <c r="D60" s="25"/>
      <c r="E60" s="25"/>
    </row>
    <row r="61" spans="1:5" ht="15.75" x14ac:dyDescent="0.25">
      <c r="A61" s="22">
        <v>44500</v>
      </c>
      <c r="B61" s="23" t="s">
        <v>57</v>
      </c>
      <c r="C61" s="47"/>
      <c r="D61" s="25"/>
      <c r="E61" s="25"/>
    </row>
    <row r="62" spans="1:5" ht="15.75" x14ac:dyDescent="0.25">
      <c r="A62" s="21"/>
      <c r="B62" s="24" t="s">
        <v>67</v>
      </c>
      <c r="C62" s="47"/>
      <c r="D62" s="25">
        <v>221.85</v>
      </c>
      <c r="E62" s="25"/>
    </row>
    <row r="63" spans="1:5" ht="15.75" x14ac:dyDescent="0.25">
      <c r="A63" s="21"/>
      <c r="B63" s="23" t="s">
        <v>68</v>
      </c>
      <c r="C63" s="47"/>
      <c r="D63" s="9"/>
      <c r="E63" s="25">
        <v>221.85</v>
      </c>
    </row>
    <row r="64" spans="1:5" ht="31.5" x14ac:dyDescent="0.25">
      <c r="A64" s="21"/>
      <c r="B64" s="23" t="s">
        <v>69</v>
      </c>
      <c r="C64" s="47"/>
      <c r="D64" s="9"/>
      <c r="E64" s="9"/>
    </row>
    <row r="65" spans="1:5" ht="15.75" x14ac:dyDescent="0.25">
      <c r="A65" s="21"/>
      <c r="B65" s="9"/>
      <c r="C65" s="47"/>
      <c r="D65" s="9"/>
      <c r="E65" s="9"/>
    </row>
    <row r="66" spans="1:5" ht="15.75" x14ac:dyDescent="0.25">
      <c r="A66" s="21"/>
      <c r="B66" s="9"/>
      <c r="C66" s="47"/>
      <c r="D66" s="9"/>
      <c r="E66" s="9"/>
    </row>
    <row r="67" spans="1:5" ht="16.5" thickBot="1" x14ac:dyDescent="0.3">
      <c r="A67" s="28"/>
      <c r="B67" s="10"/>
      <c r="C67" s="48"/>
      <c r="D67" s="10"/>
      <c r="E67" s="10"/>
    </row>
  </sheetData>
  <mergeCells count="7">
    <mergeCell ref="C60:C67"/>
    <mergeCell ref="A4:A5"/>
    <mergeCell ref="B4:B5"/>
    <mergeCell ref="C4:D4"/>
    <mergeCell ref="E4:F4"/>
    <mergeCell ref="C37:C45"/>
    <mergeCell ref="C49:C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NZ parz</cp:lastModifiedBy>
  <dcterms:created xsi:type="dcterms:W3CDTF">2021-09-02T01:56:28Z</dcterms:created>
  <dcterms:modified xsi:type="dcterms:W3CDTF">2024-06-13T07:20:52Z</dcterms:modified>
</cp:coreProperties>
</file>